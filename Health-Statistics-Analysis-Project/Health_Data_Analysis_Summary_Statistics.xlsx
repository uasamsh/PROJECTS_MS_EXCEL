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CODANICScom\Projects\MS Excel Data ANalysis Projects\"/>
    </mc:Choice>
  </mc:AlternateContent>
  <xr:revisionPtr revIDLastSave="0" documentId="8_{13E35CAE-4228-479B-B273-58F6EE547051}" xr6:coauthVersionLast="47" xr6:coauthVersionMax="47" xr10:uidLastSave="{00000000-0000-0000-0000-000000000000}"/>
  <bookViews>
    <workbookView xWindow="-57720" yWindow="735" windowWidth="29040" windowHeight="15720" tabRatio="500" xr2:uid="{00000000-000D-0000-FFFF-FFFF00000000}"/>
  </bookViews>
  <sheets>
    <sheet name="Health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4" i="1" l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R12" i="1"/>
  <c r="Q12" i="1"/>
  <c r="P12" i="1"/>
  <c r="O12" i="1"/>
  <c r="N12" i="1"/>
  <c r="M12" i="1"/>
  <c r="F12" i="1"/>
  <c r="R11" i="1"/>
  <c r="Q11" i="1"/>
  <c r="P11" i="1"/>
  <c r="O11" i="1"/>
  <c r="N11" i="1"/>
  <c r="M11" i="1"/>
  <c r="F11" i="1"/>
  <c r="R10" i="1"/>
  <c r="Q10" i="1"/>
  <c r="P10" i="1"/>
  <c r="O10" i="1"/>
  <c r="N10" i="1"/>
  <c r="M10" i="1"/>
  <c r="F10" i="1"/>
  <c r="R9" i="1"/>
  <c r="Q9" i="1"/>
  <c r="P9" i="1"/>
  <c r="O9" i="1"/>
  <c r="N9" i="1"/>
  <c r="M9" i="1"/>
  <c r="F9" i="1"/>
  <c r="F8" i="1"/>
  <c r="R7" i="1"/>
  <c r="Q7" i="1"/>
  <c r="P7" i="1"/>
  <c r="O7" i="1"/>
  <c r="N7" i="1"/>
  <c r="M7" i="1"/>
  <c r="F7" i="1"/>
  <c r="M8" i="1" s="1"/>
  <c r="R6" i="1"/>
  <c r="Q6" i="1"/>
  <c r="P6" i="1"/>
  <c r="O6" i="1"/>
  <c r="N6" i="1"/>
  <c r="M6" i="1"/>
  <c r="F6" i="1"/>
  <c r="Q8" i="1" s="1"/>
  <c r="R5" i="1"/>
  <c r="Q5" i="1"/>
  <c r="P5" i="1"/>
  <c r="O5" i="1"/>
  <c r="N5" i="1"/>
  <c r="M5" i="1"/>
  <c r="F5" i="1"/>
  <c r="R8" i="1" s="1"/>
  <c r="O8" i="1" l="1"/>
  <c r="N8" i="1"/>
  <c r="P8" i="1"/>
</calcChain>
</file>

<file path=xl/sharedStrings.xml><?xml version="1.0" encoding="utf-8"?>
<sst xmlns="http://schemas.openxmlformats.org/spreadsheetml/2006/main" count="228" uniqueCount="122">
  <si>
    <t>Health Data Analysis Project - Mean, Standard Deviation, Standard Error</t>
  </si>
  <si>
    <t>Synthetic dataset for practice - 100 subjects, values generated to resemble realistic adult health ranges</t>
  </si>
  <si>
    <t>Summary Statistics</t>
  </si>
  <si>
    <t>Subject ID</t>
  </si>
  <si>
    <t>Gender</t>
  </si>
  <si>
    <t>Age (years)</t>
  </si>
  <si>
    <t>Height (m)</t>
  </si>
  <si>
    <t>Weight (kg)</t>
  </si>
  <si>
    <t>BMI (kg/m²)</t>
  </si>
  <si>
    <t>Systolic BP (mmHg)</t>
  </si>
  <si>
    <t>Heart Rate (bpm)</t>
  </si>
  <si>
    <t>Cholesterol (mg/dL)</t>
  </si>
  <si>
    <t>Blood Glucose (mg/dL)</t>
  </si>
  <si>
    <t>Metric</t>
  </si>
  <si>
    <t>Mean</t>
  </si>
  <si>
    <t>Standard Deviation</t>
  </si>
  <si>
    <t>Standard Error</t>
  </si>
  <si>
    <t>Count (n)</t>
  </si>
  <si>
    <t>Min</t>
  </si>
  <si>
    <t>Max</t>
  </si>
  <si>
    <t>S001</t>
  </si>
  <si>
    <t>Male</t>
  </si>
  <si>
    <t>S002</t>
  </si>
  <si>
    <t>Female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</si>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</sst>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A9D08E"/>
        <bgColor rgb="FFB7B7B7"/>
      </patternFill>
    </fill>
    <fill>
      <patternFill patternType="solid">
        <fgColor rgb="FFFFD966"/>
        <bgColor rgb="FFF4B183"/>
      </patternFill>
    </fill>
    <fill>
      <patternFill patternType="solid">
        <fgColor rgb="FFF4B183"/>
        <bgColor rgb="FFFFD9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4" fillId="0" borderId="1" xfId="0" applyFont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0" fontId="5" fillId="0" borderId="1" xfId="0" applyFont="1" applyBorder="1"/>
    <xf numFmtId="2" fontId="4" fillId="3" borderId="1" xfId="0" applyNumberFormat="1" applyFont="1" applyFill="1" applyBorder="1"/>
    <xf numFmtId="2" fontId="4" fillId="4" borderId="1" xfId="0" applyNumberFormat="1" applyFont="1" applyFill="1" applyBorder="1"/>
    <xf numFmtId="2" fontId="4" fillId="5" borderId="1" xfId="0" applyNumberFormat="1" applyFont="1" applyFill="1" applyBorder="1"/>
    <xf numFmtId="1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4B183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"/>
  <sheetViews>
    <sheetView tabSelected="1" zoomScaleNormal="100" workbookViewId="0">
      <pane ySplit="5" topLeftCell="A6" activePane="bottomLeft" state="frozen"/>
      <selection pane="bottomLeft" sqref="A1:J1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1" customWidth="1"/>
    <col min="4" max="4" width="10" customWidth="1"/>
    <col min="5" max="6" width="11" customWidth="1"/>
    <col min="7" max="7" width="16" customWidth="1"/>
    <col min="8" max="8" width="14" customWidth="1"/>
    <col min="9" max="9" width="16" customWidth="1"/>
    <col min="10" max="10" width="18" customWidth="1"/>
    <col min="11" max="11" width="3" customWidth="1"/>
    <col min="12" max="12" width="20" customWidth="1"/>
    <col min="13" max="13" width="10" customWidth="1"/>
    <col min="14" max="14" width="12" customWidth="1"/>
    <col min="15" max="16" width="10" customWidth="1"/>
    <col min="17" max="18" width="9" customWidth="1"/>
  </cols>
  <sheetData>
    <row r="1" spans="1:18" ht="17.39999999999999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8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8" ht="17.399999999999999" x14ac:dyDescent="0.3">
      <c r="L3" s="2" t="s">
        <v>2</v>
      </c>
      <c r="M3" s="2"/>
      <c r="N3" s="2"/>
      <c r="O3" s="2"/>
      <c r="P3" s="2"/>
      <c r="Q3" s="2"/>
    </row>
    <row r="4" spans="1:18" ht="28.2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L4" s="4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3">
      <c r="A5" s="5" t="s">
        <v>20</v>
      </c>
      <c r="B5" s="5" t="s">
        <v>21</v>
      </c>
      <c r="C5" s="5">
        <v>58</v>
      </c>
      <c r="D5" s="6">
        <v>1.84</v>
      </c>
      <c r="E5" s="7">
        <v>93.3</v>
      </c>
      <c r="F5" s="6">
        <f t="shared" ref="F5:F36" si="0">E5/(D5^2)</f>
        <v>27.557892249527409</v>
      </c>
      <c r="G5" s="5">
        <v>132</v>
      </c>
      <c r="H5" s="5">
        <v>76</v>
      </c>
      <c r="I5" s="5">
        <v>241</v>
      </c>
      <c r="J5" s="5">
        <v>116</v>
      </c>
      <c r="L5" s="8" t="s">
        <v>5</v>
      </c>
      <c r="M5" s="9">
        <f>AVERAGE(C5:C104)</f>
        <v>41.9</v>
      </c>
      <c r="N5" s="10">
        <f>STDEV(C5:C104)</f>
        <v>14.69315789368946</v>
      </c>
      <c r="O5" s="11">
        <f>STDEV(C5:C104)/SQRT(COUNT(C5:C104))</f>
        <v>1.4693157893689459</v>
      </c>
      <c r="P5" s="12">
        <f>COUNT(C5:C104)</f>
        <v>100</v>
      </c>
      <c r="Q5" s="6">
        <f>MIN(C5:C104)</f>
        <v>19</v>
      </c>
      <c r="R5" s="6">
        <f>MAX(C5:C104)</f>
        <v>65</v>
      </c>
    </row>
    <row r="6" spans="1:18" x14ac:dyDescent="0.3">
      <c r="A6" s="5" t="s">
        <v>22</v>
      </c>
      <c r="B6" s="5" t="s">
        <v>23</v>
      </c>
      <c r="C6" s="5">
        <v>52</v>
      </c>
      <c r="D6" s="6">
        <v>1.67</v>
      </c>
      <c r="E6" s="7">
        <v>69.599999999999994</v>
      </c>
      <c r="F6" s="6">
        <f t="shared" si="0"/>
        <v>24.956075872207681</v>
      </c>
      <c r="G6" s="5">
        <v>136</v>
      </c>
      <c r="H6" s="5">
        <v>73</v>
      </c>
      <c r="I6" s="5">
        <v>207</v>
      </c>
      <c r="J6" s="5">
        <v>106</v>
      </c>
      <c r="L6" s="8" t="s">
        <v>6</v>
      </c>
      <c r="M6" s="9">
        <f>AVERAGE(D5:D104)</f>
        <v>1.6858000000000004</v>
      </c>
      <c r="N6" s="10">
        <f>STDEV(D5:D104)</f>
        <v>9.7257130817999665E-2</v>
      </c>
      <c r="O6" s="11">
        <f>STDEV(D5:D104)/SQRT(COUNT(D5:D104))</f>
        <v>9.7257130817999665E-3</v>
      </c>
      <c r="P6" s="12">
        <f>COUNT(D5:D104)</f>
        <v>100</v>
      </c>
      <c r="Q6" s="6">
        <f>MIN(D5:D104)</f>
        <v>1.5</v>
      </c>
      <c r="R6" s="6">
        <f>MAX(D5:D104)</f>
        <v>1.98</v>
      </c>
    </row>
    <row r="7" spans="1:18" x14ac:dyDescent="0.3">
      <c r="A7" s="5" t="s">
        <v>24</v>
      </c>
      <c r="B7" s="5" t="s">
        <v>21</v>
      </c>
      <c r="C7" s="5">
        <v>30</v>
      </c>
      <c r="D7" s="6">
        <v>1.73</v>
      </c>
      <c r="E7" s="7">
        <v>59</v>
      </c>
      <c r="F7" s="6">
        <f t="shared" si="0"/>
        <v>19.713321527615356</v>
      </c>
      <c r="G7" s="5">
        <v>115</v>
      </c>
      <c r="H7" s="5">
        <v>76</v>
      </c>
      <c r="I7" s="5">
        <v>191</v>
      </c>
      <c r="J7" s="5">
        <v>117</v>
      </c>
      <c r="L7" s="8" t="s">
        <v>7</v>
      </c>
      <c r="M7" s="9">
        <f>AVERAGE(E5:E104)</f>
        <v>66.792000000000016</v>
      </c>
      <c r="N7" s="10">
        <f>STDEV(E5:E104)</f>
        <v>10.998288939464938</v>
      </c>
      <c r="O7" s="11">
        <f>STDEV(E5:E104)/SQRT(COUNT(E5:E104))</f>
        <v>1.0998288939464937</v>
      </c>
      <c r="P7" s="12">
        <f>COUNT(E5:E104)</f>
        <v>100</v>
      </c>
      <c r="Q7" s="6">
        <f>MIN(E5:E104)</f>
        <v>45</v>
      </c>
      <c r="R7" s="6">
        <f>MAX(E5:E104)</f>
        <v>102.2</v>
      </c>
    </row>
    <row r="8" spans="1:18" x14ac:dyDescent="0.3">
      <c r="A8" s="5" t="s">
        <v>25</v>
      </c>
      <c r="B8" s="5" t="s">
        <v>23</v>
      </c>
      <c r="C8" s="5">
        <v>28</v>
      </c>
      <c r="D8" s="6">
        <v>1.6</v>
      </c>
      <c r="E8" s="7">
        <v>51.8</v>
      </c>
      <c r="F8" s="6">
        <f t="shared" si="0"/>
        <v>20.234374999999996</v>
      </c>
      <c r="G8" s="5">
        <v>133</v>
      </c>
      <c r="H8" s="5">
        <v>89</v>
      </c>
      <c r="I8" s="5">
        <v>192</v>
      </c>
      <c r="J8" s="5">
        <v>102</v>
      </c>
      <c r="L8" s="8" t="s">
        <v>8</v>
      </c>
      <c r="M8" s="9">
        <f>AVERAGE(F5:F104)</f>
        <v>23.414598128667652</v>
      </c>
      <c r="N8" s="10">
        <f>STDEV(F5:F104)</f>
        <v>2.5328629401004066</v>
      </c>
      <c r="O8" s="11">
        <f>STDEV(F5:F104)/SQRT(COUNT(F5:F104))</f>
        <v>0.25328629401004066</v>
      </c>
      <c r="P8" s="12">
        <f>COUNT(F5:F104)</f>
        <v>100</v>
      </c>
      <c r="Q8" s="6">
        <f>MIN(F5:F104)</f>
        <v>18.595587263839342</v>
      </c>
      <c r="R8" s="6">
        <f>MAX(F5:F104)</f>
        <v>31.550068587105617</v>
      </c>
    </row>
    <row r="9" spans="1:18" x14ac:dyDescent="0.3">
      <c r="A9" s="5" t="s">
        <v>26</v>
      </c>
      <c r="B9" s="5" t="s">
        <v>21</v>
      </c>
      <c r="C9" s="5">
        <v>24</v>
      </c>
      <c r="D9" s="6">
        <v>1.71</v>
      </c>
      <c r="E9" s="7">
        <v>73</v>
      </c>
      <c r="F9" s="6">
        <f t="shared" si="0"/>
        <v>24.964946479258579</v>
      </c>
      <c r="G9" s="5">
        <v>120</v>
      </c>
      <c r="H9" s="5">
        <v>74</v>
      </c>
      <c r="I9" s="5">
        <v>184</v>
      </c>
      <c r="J9" s="5">
        <v>98</v>
      </c>
      <c r="L9" s="8" t="s">
        <v>9</v>
      </c>
      <c r="M9" s="9">
        <f>AVERAGE(G5:G104)</f>
        <v>125.4</v>
      </c>
      <c r="N9" s="10">
        <f>STDEV(G5:G104)</f>
        <v>9.5473302630376793</v>
      </c>
      <c r="O9" s="11">
        <f>STDEV(G5:G104)/SQRT(COUNT(G5:G104))</f>
        <v>0.95473302630376788</v>
      </c>
      <c r="P9" s="12">
        <f>COUNT(G5:G104)</f>
        <v>100</v>
      </c>
      <c r="Q9" s="6">
        <f>MIN(G5:G104)</f>
        <v>105</v>
      </c>
      <c r="R9" s="6">
        <f>MAX(G5:G104)</f>
        <v>147</v>
      </c>
    </row>
    <row r="10" spans="1:18" x14ac:dyDescent="0.3">
      <c r="A10" s="5" t="s">
        <v>27</v>
      </c>
      <c r="B10" s="5" t="s">
        <v>23</v>
      </c>
      <c r="C10" s="5">
        <v>42</v>
      </c>
      <c r="D10" s="6">
        <v>1.66</v>
      </c>
      <c r="E10" s="7">
        <v>66.400000000000006</v>
      </c>
      <c r="F10" s="6">
        <f t="shared" si="0"/>
        <v>24.096385542168679</v>
      </c>
      <c r="G10" s="5">
        <v>115</v>
      </c>
      <c r="H10" s="5">
        <v>60</v>
      </c>
      <c r="I10" s="5">
        <v>197</v>
      </c>
      <c r="J10" s="5">
        <v>107</v>
      </c>
      <c r="L10" s="8" t="s">
        <v>10</v>
      </c>
      <c r="M10" s="9">
        <f>AVERAGE(H5:H104)</f>
        <v>72.099999999999994</v>
      </c>
      <c r="N10" s="10">
        <f>STDEV(H5:H104)</f>
        <v>7.6243893612087472</v>
      </c>
      <c r="O10" s="11">
        <f>STDEV(H5:H104)/SQRT(COUNT(H5:H104))</f>
        <v>0.76243893612087477</v>
      </c>
      <c r="P10" s="12">
        <f>COUNT(H5:H104)</f>
        <v>100</v>
      </c>
      <c r="Q10" s="6">
        <f>MIN(H5:H104)</f>
        <v>55</v>
      </c>
      <c r="R10" s="6">
        <f>MAX(H5:H104)</f>
        <v>89</v>
      </c>
    </row>
    <row r="11" spans="1:18" x14ac:dyDescent="0.3">
      <c r="A11" s="5" t="s">
        <v>28</v>
      </c>
      <c r="B11" s="5" t="s">
        <v>21</v>
      </c>
      <c r="C11" s="5">
        <v>22</v>
      </c>
      <c r="D11" s="6">
        <v>1.8</v>
      </c>
      <c r="E11" s="7">
        <v>76.5</v>
      </c>
      <c r="F11" s="6">
        <f t="shared" si="0"/>
        <v>23.611111111111111</v>
      </c>
      <c r="G11" s="5">
        <v>119</v>
      </c>
      <c r="H11" s="5">
        <v>75</v>
      </c>
      <c r="I11" s="5">
        <v>194</v>
      </c>
      <c r="J11" s="5">
        <v>101</v>
      </c>
      <c r="L11" s="8" t="s">
        <v>11</v>
      </c>
      <c r="M11" s="9">
        <f>AVERAGE(I5:I104)</f>
        <v>204.97</v>
      </c>
      <c r="N11" s="10">
        <f>STDEV(I5:I104)</f>
        <v>22.726060775766658</v>
      </c>
      <c r="O11" s="11">
        <f>STDEV(I5:I104)/SQRT(COUNT(I5:I104))</f>
        <v>2.2726060775766657</v>
      </c>
      <c r="P11" s="12">
        <f>COUNT(I5:I104)</f>
        <v>100</v>
      </c>
      <c r="Q11" s="6">
        <f>MIN(I5:I104)</f>
        <v>148</v>
      </c>
      <c r="R11" s="6">
        <f>MAX(I5:I104)</f>
        <v>250</v>
      </c>
    </row>
    <row r="12" spans="1:18" x14ac:dyDescent="0.3">
      <c r="A12" s="5" t="s">
        <v>29</v>
      </c>
      <c r="B12" s="5" t="s">
        <v>23</v>
      </c>
      <c r="C12" s="5">
        <v>35</v>
      </c>
      <c r="D12" s="6">
        <v>1.51</v>
      </c>
      <c r="E12" s="7">
        <v>55</v>
      </c>
      <c r="F12" s="6">
        <f t="shared" si="0"/>
        <v>24.121749046094468</v>
      </c>
      <c r="G12" s="5">
        <v>128</v>
      </c>
      <c r="H12" s="5">
        <v>78</v>
      </c>
      <c r="I12" s="5">
        <v>186</v>
      </c>
      <c r="J12" s="5">
        <v>88</v>
      </c>
      <c r="L12" s="8" t="s">
        <v>12</v>
      </c>
      <c r="M12" s="9">
        <f>AVERAGE(J5:J104)</f>
        <v>102.59</v>
      </c>
      <c r="N12" s="10">
        <f>STDEV(J5:J104)</f>
        <v>10.342708357176868</v>
      </c>
      <c r="O12" s="11">
        <f>STDEV(J5:J104)/SQRT(COUNT(J5:J104))</f>
        <v>1.0342708357176869</v>
      </c>
      <c r="P12" s="12">
        <f>COUNT(J5:J104)</f>
        <v>100</v>
      </c>
      <c r="Q12" s="6">
        <f>MIN(J5:J104)</f>
        <v>78</v>
      </c>
      <c r="R12" s="6">
        <f>MAX(J5:J104)</f>
        <v>128</v>
      </c>
    </row>
    <row r="13" spans="1:18" x14ac:dyDescent="0.3">
      <c r="A13" s="5" t="s">
        <v>30</v>
      </c>
      <c r="B13" s="5" t="s">
        <v>21</v>
      </c>
      <c r="C13" s="5">
        <v>61</v>
      </c>
      <c r="D13" s="6">
        <v>1.69</v>
      </c>
      <c r="E13" s="7">
        <v>63.7</v>
      </c>
      <c r="F13" s="6">
        <f t="shared" si="0"/>
        <v>22.303140646335915</v>
      </c>
      <c r="G13" s="5">
        <v>139</v>
      </c>
      <c r="H13" s="5">
        <v>83</v>
      </c>
      <c r="I13" s="5">
        <v>227</v>
      </c>
      <c r="J13" s="5">
        <v>116</v>
      </c>
    </row>
    <row r="14" spans="1:18" x14ac:dyDescent="0.3">
      <c r="A14" s="5" t="s">
        <v>31</v>
      </c>
      <c r="B14" s="5" t="s">
        <v>23</v>
      </c>
      <c r="C14" s="5">
        <v>58</v>
      </c>
      <c r="D14" s="6">
        <v>1.6</v>
      </c>
      <c r="E14" s="7">
        <v>57</v>
      </c>
      <c r="F14" s="6">
        <f t="shared" si="0"/>
        <v>22.265624999999996</v>
      </c>
      <c r="G14" s="5">
        <v>126</v>
      </c>
      <c r="H14" s="5">
        <v>84</v>
      </c>
      <c r="I14" s="5">
        <v>250</v>
      </c>
      <c r="J14" s="5">
        <v>113</v>
      </c>
    </row>
    <row r="15" spans="1:18" x14ac:dyDescent="0.3">
      <c r="A15" s="5" t="s">
        <v>32</v>
      </c>
      <c r="B15" s="5" t="s">
        <v>21</v>
      </c>
      <c r="C15" s="5">
        <v>38</v>
      </c>
      <c r="D15" s="6">
        <v>1.73</v>
      </c>
      <c r="E15" s="7">
        <v>73.099999999999994</v>
      </c>
      <c r="F15" s="6">
        <f t="shared" si="0"/>
        <v>24.424471248621735</v>
      </c>
      <c r="G15" s="5">
        <v>134</v>
      </c>
      <c r="H15" s="5">
        <v>67</v>
      </c>
      <c r="I15" s="5">
        <v>200</v>
      </c>
      <c r="J15" s="5">
        <v>95</v>
      </c>
    </row>
    <row r="16" spans="1:18" x14ac:dyDescent="0.3">
      <c r="A16" s="5" t="s">
        <v>33</v>
      </c>
      <c r="B16" s="5" t="s">
        <v>23</v>
      </c>
      <c r="C16" s="5">
        <v>49</v>
      </c>
      <c r="D16" s="6">
        <v>1.51</v>
      </c>
      <c r="E16" s="7">
        <v>61.2</v>
      </c>
      <c r="F16" s="6">
        <f t="shared" si="0"/>
        <v>26.840928029472394</v>
      </c>
      <c r="G16" s="5">
        <v>123</v>
      </c>
      <c r="H16" s="5">
        <v>74</v>
      </c>
      <c r="I16" s="5">
        <v>210</v>
      </c>
      <c r="J16" s="5">
        <v>116</v>
      </c>
    </row>
    <row r="17" spans="1:10" x14ac:dyDescent="0.3">
      <c r="A17" s="5" t="s">
        <v>34</v>
      </c>
      <c r="B17" s="5" t="s">
        <v>21</v>
      </c>
      <c r="C17" s="5">
        <v>34</v>
      </c>
      <c r="D17" s="6">
        <v>1.75</v>
      </c>
      <c r="E17" s="7">
        <v>64.5</v>
      </c>
      <c r="F17" s="6">
        <f t="shared" si="0"/>
        <v>21.061224489795919</v>
      </c>
      <c r="G17" s="5">
        <v>117</v>
      </c>
      <c r="H17" s="5">
        <v>68</v>
      </c>
      <c r="I17" s="5">
        <v>211</v>
      </c>
      <c r="J17" s="5">
        <v>100</v>
      </c>
    </row>
    <row r="18" spans="1:10" x14ac:dyDescent="0.3">
      <c r="A18" s="5" t="s">
        <v>35</v>
      </c>
      <c r="B18" s="5" t="s">
        <v>23</v>
      </c>
      <c r="C18" s="5">
        <v>49</v>
      </c>
      <c r="D18" s="6">
        <v>1.64</v>
      </c>
      <c r="E18" s="7">
        <v>64.2</v>
      </c>
      <c r="F18" s="6">
        <f t="shared" si="0"/>
        <v>23.869720404521125</v>
      </c>
      <c r="G18" s="5">
        <v>138</v>
      </c>
      <c r="H18" s="5">
        <v>79</v>
      </c>
      <c r="I18" s="5">
        <v>215</v>
      </c>
      <c r="J18" s="5">
        <v>96</v>
      </c>
    </row>
    <row r="19" spans="1:10" x14ac:dyDescent="0.3">
      <c r="A19" s="5" t="s">
        <v>36</v>
      </c>
      <c r="B19" s="5" t="s">
        <v>21</v>
      </c>
      <c r="C19" s="5">
        <v>22</v>
      </c>
      <c r="D19" s="6">
        <v>1.68</v>
      </c>
      <c r="E19" s="7">
        <v>71.5</v>
      </c>
      <c r="F19" s="6">
        <f t="shared" si="0"/>
        <v>25.333049886621318</v>
      </c>
      <c r="G19" s="5">
        <v>114</v>
      </c>
      <c r="H19" s="5">
        <v>73</v>
      </c>
      <c r="I19" s="5">
        <v>148</v>
      </c>
      <c r="J19" s="5">
        <v>90</v>
      </c>
    </row>
    <row r="20" spans="1:10" x14ac:dyDescent="0.3">
      <c r="A20" s="5" t="s">
        <v>37</v>
      </c>
      <c r="B20" s="5" t="s">
        <v>23</v>
      </c>
      <c r="C20" s="5">
        <v>61</v>
      </c>
      <c r="D20" s="6">
        <v>1.6</v>
      </c>
      <c r="E20" s="7">
        <v>52</v>
      </c>
      <c r="F20" s="6">
        <f t="shared" si="0"/>
        <v>20.312499999999996</v>
      </c>
      <c r="G20" s="5">
        <v>127</v>
      </c>
      <c r="H20" s="5">
        <v>71</v>
      </c>
      <c r="I20" s="5">
        <v>210</v>
      </c>
      <c r="J20" s="5">
        <v>105</v>
      </c>
    </row>
    <row r="21" spans="1:10" x14ac:dyDescent="0.3">
      <c r="A21" s="5" t="s">
        <v>38</v>
      </c>
      <c r="B21" s="5" t="s">
        <v>21</v>
      </c>
      <c r="C21" s="5">
        <v>45</v>
      </c>
      <c r="D21" s="6">
        <v>1.75</v>
      </c>
      <c r="E21" s="7">
        <v>74.8</v>
      </c>
      <c r="F21" s="6">
        <f t="shared" si="0"/>
        <v>24.424489795918365</v>
      </c>
      <c r="G21" s="5">
        <v>126</v>
      </c>
      <c r="H21" s="5">
        <v>59</v>
      </c>
      <c r="I21" s="5">
        <v>240</v>
      </c>
      <c r="J21" s="5">
        <v>101</v>
      </c>
    </row>
    <row r="22" spans="1:10" x14ac:dyDescent="0.3">
      <c r="A22" s="5" t="s">
        <v>39</v>
      </c>
      <c r="B22" s="5" t="s">
        <v>23</v>
      </c>
      <c r="C22" s="5">
        <v>50</v>
      </c>
      <c r="D22" s="6">
        <v>1.72</v>
      </c>
      <c r="E22" s="7">
        <v>61.7</v>
      </c>
      <c r="F22" s="6">
        <f t="shared" si="0"/>
        <v>20.855868036776638</v>
      </c>
      <c r="G22" s="5">
        <v>126</v>
      </c>
      <c r="H22" s="5">
        <v>83</v>
      </c>
      <c r="I22" s="5">
        <v>201</v>
      </c>
      <c r="J22" s="5">
        <v>102</v>
      </c>
    </row>
    <row r="23" spans="1:10" x14ac:dyDescent="0.3">
      <c r="A23" s="5" t="s">
        <v>40</v>
      </c>
      <c r="B23" s="5" t="s">
        <v>21</v>
      </c>
      <c r="C23" s="5">
        <v>28</v>
      </c>
      <c r="D23" s="6">
        <v>1.63</v>
      </c>
      <c r="E23" s="7">
        <v>59.3</v>
      </c>
      <c r="F23" s="6">
        <f t="shared" si="0"/>
        <v>22.319244231999701</v>
      </c>
      <c r="G23" s="5">
        <v>122</v>
      </c>
      <c r="H23" s="5">
        <v>72</v>
      </c>
      <c r="I23" s="5">
        <v>195</v>
      </c>
      <c r="J23" s="5">
        <v>100</v>
      </c>
    </row>
    <row r="24" spans="1:10" x14ac:dyDescent="0.3">
      <c r="A24" s="5" t="s">
        <v>41</v>
      </c>
      <c r="B24" s="5" t="s">
        <v>23</v>
      </c>
      <c r="C24" s="5">
        <v>41</v>
      </c>
      <c r="D24" s="6">
        <v>1.7</v>
      </c>
      <c r="E24" s="7">
        <v>57.2</v>
      </c>
      <c r="F24" s="6">
        <f t="shared" si="0"/>
        <v>19.792387543252598</v>
      </c>
      <c r="G24" s="5">
        <v>125</v>
      </c>
      <c r="H24" s="5">
        <v>75</v>
      </c>
      <c r="I24" s="5">
        <v>240</v>
      </c>
      <c r="J24" s="5">
        <v>87</v>
      </c>
    </row>
    <row r="25" spans="1:10" x14ac:dyDescent="0.3">
      <c r="A25" s="5" t="s">
        <v>42</v>
      </c>
      <c r="B25" s="5" t="s">
        <v>21</v>
      </c>
      <c r="C25" s="5">
        <v>23</v>
      </c>
      <c r="D25" s="6">
        <v>1.74</v>
      </c>
      <c r="E25" s="7">
        <v>56.3</v>
      </c>
      <c r="F25" s="6">
        <f t="shared" si="0"/>
        <v>18.595587263839342</v>
      </c>
      <c r="G25" s="5">
        <v>130</v>
      </c>
      <c r="H25" s="5">
        <v>71</v>
      </c>
      <c r="I25" s="5">
        <v>214</v>
      </c>
      <c r="J25" s="5">
        <v>106</v>
      </c>
    </row>
    <row r="26" spans="1:10" x14ac:dyDescent="0.3">
      <c r="A26" s="5" t="s">
        <v>43</v>
      </c>
      <c r="B26" s="5" t="s">
        <v>23</v>
      </c>
      <c r="C26" s="5">
        <v>53</v>
      </c>
      <c r="D26" s="6">
        <v>1.66</v>
      </c>
      <c r="E26" s="7">
        <v>72.400000000000006</v>
      </c>
      <c r="F26" s="6">
        <f t="shared" si="0"/>
        <v>26.273769777906811</v>
      </c>
      <c r="G26" s="5">
        <v>114</v>
      </c>
      <c r="H26" s="5">
        <v>59</v>
      </c>
      <c r="I26" s="5">
        <v>242</v>
      </c>
      <c r="J26" s="5">
        <v>99</v>
      </c>
    </row>
    <row r="27" spans="1:10" x14ac:dyDescent="0.3">
      <c r="A27" s="5" t="s">
        <v>44</v>
      </c>
      <c r="B27" s="5" t="s">
        <v>21</v>
      </c>
      <c r="C27" s="5">
        <v>62</v>
      </c>
      <c r="D27" s="6">
        <v>1.77</v>
      </c>
      <c r="E27" s="7">
        <v>85.1</v>
      </c>
      <c r="F27" s="6">
        <f t="shared" si="0"/>
        <v>27.163331098981772</v>
      </c>
      <c r="G27" s="5">
        <v>145</v>
      </c>
      <c r="H27" s="5">
        <v>72</v>
      </c>
      <c r="I27" s="5">
        <v>195</v>
      </c>
      <c r="J27" s="5">
        <v>113</v>
      </c>
    </row>
    <row r="28" spans="1:10" x14ac:dyDescent="0.3">
      <c r="A28" s="5" t="s">
        <v>45</v>
      </c>
      <c r="B28" s="5" t="s">
        <v>23</v>
      </c>
      <c r="C28" s="5">
        <v>25</v>
      </c>
      <c r="D28" s="6">
        <v>1.62</v>
      </c>
      <c r="E28" s="7">
        <v>60.8</v>
      </c>
      <c r="F28" s="6">
        <f t="shared" si="0"/>
        <v>23.167200121932627</v>
      </c>
      <c r="G28" s="5">
        <v>131</v>
      </c>
      <c r="H28" s="5">
        <v>73</v>
      </c>
      <c r="I28" s="5">
        <v>193</v>
      </c>
      <c r="J28" s="5">
        <v>97</v>
      </c>
    </row>
    <row r="29" spans="1:10" x14ac:dyDescent="0.3">
      <c r="A29" s="5" t="s">
        <v>46</v>
      </c>
      <c r="B29" s="5" t="s">
        <v>21</v>
      </c>
      <c r="C29" s="5">
        <v>63</v>
      </c>
      <c r="D29" s="6">
        <v>1.72</v>
      </c>
      <c r="E29" s="7">
        <v>70.5</v>
      </c>
      <c r="F29" s="6">
        <f t="shared" si="0"/>
        <v>23.830448891292594</v>
      </c>
      <c r="G29" s="5">
        <v>147</v>
      </c>
      <c r="H29" s="5">
        <v>63</v>
      </c>
      <c r="I29" s="5">
        <v>231</v>
      </c>
      <c r="J29" s="5">
        <v>112</v>
      </c>
    </row>
    <row r="30" spans="1:10" x14ac:dyDescent="0.3">
      <c r="A30" s="5" t="s">
        <v>47</v>
      </c>
      <c r="B30" s="5" t="s">
        <v>23</v>
      </c>
      <c r="C30" s="5">
        <v>60</v>
      </c>
      <c r="D30" s="6">
        <v>1.55</v>
      </c>
      <c r="E30" s="7">
        <v>58.3</v>
      </c>
      <c r="F30" s="6">
        <f t="shared" si="0"/>
        <v>24.266389177939644</v>
      </c>
      <c r="G30" s="5">
        <v>130</v>
      </c>
      <c r="H30" s="5">
        <v>56</v>
      </c>
      <c r="I30" s="5">
        <v>203</v>
      </c>
      <c r="J30" s="5">
        <v>105</v>
      </c>
    </row>
    <row r="31" spans="1:10" x14ac:dyDescent="0.3">
      <c r="A31" s="5" t="s">
        <v>48</v>
      </c>
      <c r="B31" s="5" t="s">
        <v>21</v>
      </c>
      <c r="C31" s="5">
        <v>48</v>
      </c>
      <c r="D31" s="6">
        <v>1.77</v>
      </c>
      <c r="E31" s="7">
        <v>71.7</v>
      </c>
      <c r="F31" s="6">
        <f t="shared" si="0"/>
        <v>22.886143828401799</v>
      </c>
      <c r="G31" s="5">
        <v>136</v>
      </c>
      <c r="H31" s="5">
        <v>77</v>
      </c>
      <c r="I31" s="5">
        <v>189</v>
      </c>
      <c r="J31" s="5">
        <v>109</v>
      </c>
    </row>
    <row r="32" spans="1:10" x14ac:dyDescent="0.3">
      <c r="A32" s="5" t="s">
        <v>49</v>
      </c>
      <c r="B32" s="5" t="s">
        <v>23</v>
      </c>
      <c r="C32" s="5">
        <v>64</v>
      </c>
      <c r="D32" s="6">
        <v>1.7</v>
      </c>
      <c r="E32" s="7">
        <v>73.400000000000006</v>
      </c>
      <c r="F32" s="6">
        <f t="shared" si="0"/>
        <v>25.397923875432532</v>
      </c>
      <c r="G32" s="5">
        <v>133</v>
      </c>
      <c r="H32" s="5">
        <v>70</v>
      </c>
      <c r="I32" s="5">
        <v>213</v>
      </c>
      <c r="J32" s="5">
        <v>93</v>
      </c>
    </row>
    <row r="33" spans="1:10" x14ac:dyDescent="0.3">
      <c r="A33" s="5" t="s">
        <v>50</v>
      </c>
      <c r="B33" s="5" t="s">
        <v>21</v>
      </c>
      <c r="C33" s="5">
        <v>24</v>
      </c>
      <c r="D33" s="6">
        <v>1.75</v>
      </c>
      <c r="E33" s="7">
        <v>76</v>
      </c>
      <c r="F33" s="6">
        <f t="shared" si="0"/>
        <v>24.816326530612244</v>
      </c>
      <c r="G33" s="5">
        <v>112</v>
      </c>
      <c r="H33" s="5">
        <v>75</v>
      </c>
      <c r="I33" s="5">
        <v>192</v>
      </c>
      <c r="J33" s="5">
        <v>104</v>
      </c>
    </row>
    <row r="34" spans="1:10" x14ac:dyDescent="0.3">
      <c r="A34" s="5" t="s">
        <v>51</v>
      </c>
      <c r="B34" s="5" t="s">
        <v>23</v>
      </c>
      <c r="C34" s="5">
        <v>22</v>
      </c>
      <c r="D34" s="6">
        <v>1.51</v>
      </c>
      <c r="E34" s="7">
        <v>54.4</v>
      </c>
      <c r="F34" s="6">
        <f t="shared" si="0"/>
        <v>23.858602692864348</v>
      </c>
      <c r="G34" s="5">
        <v>117</v>
      </c>
      <c r="H34" s="5">
        <v>71</v>
      </c>
      <c r="I34" s="5">
        <v>231</v>
      </c>
      <c r="J34" s="5">
        <v>97</v>
      </c>
    </row>
    <row r="35" spans="1:10" x14ac:dyDescent="0.3">
      <c r="A35" s="5" t="s">
        <v>52</v>
      </c>
      <c r="B35" s="5" t="s">
        <v>21</v>
      </c>
      <c r="C35" s="5">
        <v>23</v>
      </c>
      <c r="D35" s="6">
        <v>1.87</v>
      </c>
      <c r="E35" s="7">
        <v>73.400000000000006</v>
      </c>
      <c r="F35" s="6">
        <f t="shared" si="0"/>
        <v>20.990019731762416</v>
      </c>
      <c r="G35" s="5">
        <v>125</v>
      </c>
      <c r="H35" s="5">
        <v>80</v>
      </c>
      <c r="I35" s="5">
        <v>198</v>
      </c>
      <c r="J35" s="5">
        <v>106</v>
      </c>
    </row>
    <row r="36" spans="1:10" x14ac:dyDescent="0.3">
      <c r="A36" s="5" t="s">
        <v>53</v>
      </c>
      <c r="B36" s="5" t="s">
        <v>23</v>
      </c>
      <c r="C36" s="5">
        <v>21</v>
      </c>
      <c r="D36" s="6">
        <v>1.62</v>
      </c>
      <c r="E36" s="7">
        <v>58.2</v>
      </c>
      <c r="F36" s="6">
        <f t="shared" si="0"/>
        <v>22.176497485139457</v>
      </c>
      <c r="G36" s="5">
        <v>105</v>
      </c>
      <c r="H36" s="5">
        <v>84</v>
      </c>
      <c r="I36" s="5">
        <v>196</v>
      </c>
      <c r="J36" s="5">
        <v>89</v>
      </c>
    </row>
    <row r="37" spans="1:10" x14ac:dyDescent="0.3">
      <c r="A37" s="5" t="s">
        <v>54</v>
      </c>
      <c r="B37" s="5" t="s">
        <v>21</v>
      </c>
      <c r="C37" s="5">
        <v>62</v>
      </c>
      <c r="D37" s="6">
        <v>1.97</v>
      </c>
      <c r="E37" s="7">
        <v>89</v>
      </c>
      <c r="F37" s="6">
        <f t="shared" ref="F37:F68" si="1">E37/(D37^2)</f>
        <v>22.932824860212836</v>
      </c>
      <c r="G37" s="5">
        <v>122</v>
      </c>
      <c r="H37" s="5">
        <v>68</v>
      </c>
      <c r="I37" s="5">
        <v>227</v>
      </c>
      <c r="J37" s="5">
        <v>115</v>
      </c>
    </row>
    <row r="38" spans="1:10" x14ac:dyDescent="0.3">
      <c r="A38" s="5" t="s">
        <v>55</v>
      </c>
      <c r="B38" s="5" t="s">
        <v>23</v>
      </c>
      <c r="C38" s="5">
        <v>21</v>
      </c>
      <c r="D38" s="6">
        <v>1.55</v>
      </c>
      <c r="E38" s="7">
        <v>49.4</v>
      </c>
      <c r="F38" s="6">
        <f t="shared" si="1"/>
        <v>20.561914672216439</v>
      </c>
      <c r="G38" s="5">
        <v>119</v>
      </c>
      <c r="H38" s="5">
        <v>69</v>
      </c>
      <c r="I38" s="5">
        <v>172</v>
      </c>
      <c r="J38" s="5">
        <v>91</v>
      </c>
    </row>
    <row r="39" spans="1:10" x14ac:dyDescent="0.3">
      <c r="A39" s="5" t="s">
        <v>56</v>
      </c>
      <c r="B39" s="5" t="s">
        <v>21</v>
      </c>
      <c r="C39" s="5">
        <v>51</v>
      </c>
      <c r="D39" s="6">
        <v>1.85</v>
      </c>
      <c r="E39" s="7">
        <v>102.2</v>
      </c>
      <c r="F39" s="6">
        <f t="shared" si="1"/>
        <v>29.861212563915263</v>
      </c>
      <c r="G39" s="5">
        <v>134</v>
      </c>
      <c r="H39" s="5">
        <v>74</v>
      </c>
      <c r="I39" s="5">
        <v>186</v>
      </c>
      <c r="J39" s="5">
        <v>98</v>
      </c>
    </row>
    <row r="40" spans="1:10" x14ac:dyDescent="0.3">
      <c r="A40" s="5" t="s">
        <v>57</v>
      </c>
      <c r="B40" s="5" t="s">
        <v>23</v>
      </c>
      <c r="C40" s="5">
        <v>33</v>
      </c>
      <c r="D40" s="6">
        <v>1.5</v>
      </c>
      <c r="E40" s="7">
        <v>58.6</v>
      </c>
      <c r="F40" s="6">
        <f t="shared" si="1"/>
        <v>26.044444444444444</v>
      </c>
      <c r="G40" s="5">
        <v>114</v>
      </c>
      <c r="H40" s="5">
        <v>68</v>
      </c>
      <c r="I40" s="5">
        <v>208</v>
      </c>
      <c r="J40" s="5">
        <v>101</v>
      </c>
    </row>
    <row r="41" spans="1:10" x14ac:dyDescent="0.3">
      <c r="A41" s="5" t="s">
        <v>58</v>
      </c>
      <c r="B41" s="5" t="s">
        <v>21</v>
      </c>
      <c r="C41" s="5">
        <v>60</v>
      </c>
      <c r="D41" s="6">
        <v>1.68</v>
      </c>
      <c r="E41" s="7">
        <v>66.3</v>
      </c>
      <c r="F41" s="6">
        <f t="shared" si="1"/>
        <v>23.490646258503403</v>
      </c>
      <c r="G41" s="5">
        <v>138</v>
      </c>
      <c r="H41" s="5">
        <v>70</v>
      </c>
      <c r="I41" s="5">
        <v>213</v>
      </c>
      <c r="J41" s="5">
        <v>102</v>
      </c>
    </row>
    <row r="42" spans="1:10" x14ac:dyDescent="0.3">
      <c r="A42" s="5" t="s">
        <v>59</v>
      </c>
      <c r="B42" s="5" t="s">
        <v>23</v>
      </c>
      <c r="C42" s="5">
        <v>43</v>
      </c>
      <c r="D42" s="6">
        <v>1.68</v>
      </c>
      <c r="E42" s="7">
        <v>72.8</v>
      </c>
      <c r="F42" s="6">
        <f t="shared" si="1"/>
        <v>25.793650793650798</v>
      </c>
      <c r="G42" s="5">
        <v>109</v>
      </c>
      <c r="H42" s="5">
        <v>77</v>
      </c>
      <c r="I42" s="5">
        <v>208</v>
      </c>
      <c r="J42" s="5">
        <v>102</v>
      </c>
    </row>
    <row r="43" spans="1:10" x14ac:dyDescent="0.3">
      <c r="A43" s="5" t="s">
        <v>60</v>
      </c>
      <c r="B43" s="5" t="s">
        <v>21</v>
      </c>
      <c r="C43" s="5">
        <v>57</v>
      </c>
      <c r="D43" s="6">
        <v>1.98</v>
      </c>
      <c r="E43" s="7">
        <v>97.1</v>
      </c>
      <c r="F43" s="6">
        <f t="shared" si="1"/>
        <v>24.767880828486888</v>
      </c>
      <c r="G43" s="5">
        <v>137</v>
      </c>
      <c r="H43" s="5">
        <v>74</v>
      </c>
      <c r="I43" s="5">
        <v>210</v>
      </c>
      <c r="J43" s="5">
        <v>128</v>
      </c>
    </row>
    <row r="44" spans="1:10" x14ac:dyDescent="0.3">
      <c r="A44" s="5" t="s">
        <v>61</v>
      </c>
      <c r="B44" s="5" t="s">
        <v>23</v>
      </c>
      <c r="C44" s="5">
        <v>22</v>
      </c>
      <c r="D44" s="6">
        <v>1.66</v>
      </c>
      <c r="E44" s="7">
        <v>56.3</v>
      </c>
      <c r="F44" s="6">
        <f t="shared" si="1"/>
        <v>20.43112207867615</v>
      </c>
      <c r="G44" s="5">
        <v>128</v>
      </c>
      <c r="H44" s="5">
        <v>85</v>
      </c>
      <c r="I44" s="5">
        <v>185</v>
      </c>
      <c r="J44" s="5">
        <v>85</v>
      </c>
    </row>
    <row r="45" spans="1:10" x14ac:dyDescent="0.3">
      <c r="A45" s="5" t="s">
        <v>62</v>
      </c>
      <c r="B45" s="5" t="s">
        <v>21</v>
      </c>
      <c r="C45" s="5">
        <v>59</v>
      </c>
      <c r="D45" s="6">
        <v>1.65</v>
      </c>
      <c r="E45" s="7">
        <v>66.099999999999994</v>
      </c>
      <c r="F45" s="6">
        <f t="shared" si="1"/>
        <v>24.279155188246097</v>
      </c>
      <c r="G45" s="5">
        <v>115</v>
      </c>
      <c r="H45" s="5">
        <v>66</v>
      </c>
      <c r="I45" s="5">
        <v>248</v>
      </c>
      <c r="J45" s="5">
        <v>119</v>
      </c>
    </row>
    <row r="46" spans="1:10" x14ac:dyDescent="0.3">
      <c r="A46" s="5" t="s">
        <v>63</v>
      </c>
      <c r="B46" s="5" t="s">
        <v>23</v>
      </c>
      <c r="C46" s="5">
        <v>34</v>
      </c>
      <c r="D46" s="6">
        <v>1.64</v>
      </c>
      <c r="E46" s="7">
        <v>63.2</v>
      </c>
      <c r="F46" s="6">
        <f t="shared" si="1"/>
        <v>23.497917906008333</v>
      </c>
      <c r="G46" s="5">
        <v>118</v>
      </c>
      <c r="H46" s="5">
        <v>70</v>
      </c>
      <c r="I46" s="5">
        <v>175</v>
      </c>
      <c r="J46" s="5">
        <v>91</v>
      </c>
    </row>
    <row r="47" spans="1:10" x14ac:dyDescent="0.3">
      <c r="A47" s="5" t="s">
        <v>64</v>
      </c>
      <c r="B47" s="5" t="s">
        <v>21</v>
      </c>
      <c r="C47" s="5">
        <v>31</v>
      </c>
      <c r="D47" s="6">
        <v>1.7</v>
      </c>
      <c r="E47" s="7">
        <v>55</v>
      </c>
      <c r="F47" s="6">
        <f t="shared" si="1"/>
        <v>19.031141868512112</v>
      </c>
      <c r="G47" s="5">
        <v>117</v>
      </c>
      <c r="H47" s="5">
        <v>72</v>
      </c>
      <c r="I47" s="5">
        <v>204</v>
      </c>
      <c r="J47" s="5">
        <v>98</v>
      </c>
    </row>
    <row r="48" spans="1:10" x14ac:dyDescent="0.3">
      <c r="A48" s="5" t="s">
        <v>65</v>
      </c>
      <c r="B48" s="5" t="s">
        <v>23</v>
      </c>
      <c r="C48" s="5">
        <v>58</v>
      </c>
      <c r="D48" s="6">
        <v>1.58</v>
      </c>
      <c r="E48" s="7">
        <v>62</v>
      </c>
      <c r="F48" s="6">
        <f t="shared" si="1"/>
        <v>24.835763499439189</v>
      </c>
      <c r="G48" s="5">
        <v>146</v>
      </c>
      <c r="H48" s="5">
        <v>72</v>
      </c>
      <c r="I48" s="5">
        <v>205</v>
      </c>
      <c r="J48" s="5">
        <v>102</v>
      </c>
    </row>
    <row r="49" spans="1:10" x14ac:dyDescent="0.3">
      <c r="A49" s="5" t="s">
        <v>66</v>
      </c>
      <c r="B49" s="5" t="s">
        <v>21</v>
      </c>
      <c r="C49" s="5">
        <v>65</v>
      </c>
      <c r="D49" s="6">
        <v>1.65</v>
      </c>
      <c r="E49" s="7">
        <v>72.5</v>
      </c>
      <c r="F49" s="6">
        <f t="shared" si="1"/>
        <v>26.629935720844816</v>
      </c>
      <c r="G49" s="5">
        <v>131</v>
      </c>
      <c r="H49" s="5">
        <v>71</v>
      </c>
      <c r="I49" s="5">
        <v>248</v>
      </c>
      <c r="J49" s="5">
        <v>105</v>
      </c>
    </row>
    <row r="50" spans="1:10" x14ac:dyDescent="0.3">
      <c r="A50" s="5" t="s">
        <v>67</v>
      </c>
      <c r="B50" s="5" t="s">
        <v>23</v>
      </c>
      <c r="C50" s="5">
        <v>27</v>
      </c>
      <c r="D50" s="6">
        <v>1.51</v>
      </c>
      <c r="E50" s="7">
        <v>47.9</v>
      </c>
      <c r="F50" s="6">
        <f t="shared" si="1"/>
        <v>21.007850532871366</v>
      </c>
      <c r="G50" s="5">
        <v>118</v>
      </c>
      <c r="H50" s="5">
        <v>70</v>
      </c>
      <c r="I50" s="5">
        <v>208</v>
      </c>
      <c r="J50" s="5">
        <v>104</v>
      </c>
    </row>
    <row r="51" spans="1:10" x14ac:dyDescent="0.3">
      <c r="A51" s="5" t="s">
        <v>68</v>
      </c>
      <c r="B51" s="5" t="s">
        <v>21</v>
      </c>
      <c r="C51" s="5">
        <v>20</v>
      </c>
      <c r="D51" s="6">
        <v>1.79</v>
      </c>
      <c r="E51" s="7">
        <v>70.400000000000006</v>
      </c>
      <c r="F51" s="6">
        <f t="shared" si="1"/>
        <v>21.971848569020946</v>
      </c>
      <c r="G51" s="5">
        <v>119</v>
      </c>
      <c r="H51" s="5">
        <v>76</v>
      </c>
      <c r="I51" s="5">
        <v>200</v>
      </c>
      <c r="J51" s="5">
        <v>78</v>
      </c>
    </row>
    <row r="52" spans="1:10" x14ac:dyDescent="0.3">
      <c r="A52" s="5" t="s">
        <v>69</v>
      </c>
      <c r="B52" s="5" t="s">
        <v>23</v>
      </c>
      <c r="C52" s="5">
        <v>44</v>
      </c>
      <c r="D52" s="6">
        <v>1.72</v>
      </c>
      <c r="E52" s="7">
        <v>66.599999999999994</v>
      </c>
      <c r="F52" s="6">
        <f t="shared" si="1"/>
        <v>22.512168739859383</v>
      </c>
      <c r="G52" s="5">
        <v>133</v>
      </c>
      <c r="H52" s="5">
        <v>69</v>
      </c>
      <c r="I52" s="5">
        <v>225</v>
      </c>
      <c r="J52" s="5">
        <v>117</v>
      </c>
    </row>
    <row r="53" spans="1:10" x14ac:dyDescent="0.3">
      <c r="A53" s="5" t="s">
        <v>70</v>
      </c>
      <c r="B53" s="5" t="s">
        <v>21</v>
      </c>
      <c r="C53" s="5">
        <v>29</v>
      </c>
      <c r="D53" s="6">
        <v>1.76</v>
      </c>
      <c r="E53" s="7">
        <v>71.5</v>
      </c>
      <c r="F53" s="6">
        <f t="shared" si="1"/>
        <v>23.082386363636363</v>
      </c>
      <c r="G53" s="5">
        <v>122</v>
      </c>
      <c r="H53" s="5">
        <v>65</v>
      </c>
      <c r="I53" s="5">
        <v>230</v>
      </c>
      <c r="J53" s="5">
        <v>92</v>
      </c>
    </row>
    <row r="54" spans="1:10" x14ac:dyDescent="0.3">
      <c r="A54" s="5" t="s">
        <v>71</v>
      </c>
      <c r="B54" s="5" t="s">
        <v>23</v>
      </c>
      <c r="C54" s="5">
        <v>65</v>
      </c>
      <c r="D54" s="6">
        <v>1.64</v>
      </c>
      <c r="E54" s="7">
        <v>60.3</v>
      </c>
      <c r="F54" s="6">
        <f t="shared" si="1"/>
        <v>22.41969066032124</v>
      </c>
      <c r="G54" s="5">
        <v>136</v>
      </c>
      <c r="H54" s="5">
        <v>68</v>
      </c>
      <c r="I54" s="5">
        <v>246</v>
      </c>
      <c r="J54" s="5">
        <v>97</v>
      </c>
    </row>
    <row r="55" spans="1:10" x14ac:dyDescent="0.3">
      <c r="A55" s="5" t="s">
        <v>72</v>
      </c>
      <c r="B55" s="5" t="s">
        <v>21</v>
      </c>
      <c r="C55" s="5">
        <v>32</v>
      </c>
      <c r="D55" s="6">
        <v>1.8</v>
      </c>
      <c r="E55" s="7">
        <v>93.7</v>
      </c>
      <c r="F55" s="6">
        <f t="shared" si="1"/>
        <v>28.919753086419753</v>
      </c>
      <c r="G55" s="5">
        <v>115</v>
      </c>
      <c r="H55" s="5">
        <v>84</v>
      </c>
      <c r="I55" s="5">
        <v>209</v>
      </c>
      <c r="J55" s="5">
        <v>95</v>
      </c>
    </row>
    <row r="56" spans="1:10" x14ac:dyDescent="0.3">
      <c r="A56" s="5" t="s">
        <v>73</v>
      </c>
      <c r="B56" s="5" t="s">
        <v>23</v>
      </c>
      <c r="C56" s="5">
        <v>60</v>
      </c>
      <c r="D56" s="6">
        <v>1.64</v>
      </c>
      <c r="E56" s="7">
        <v>70.2</v>
      </c>
      <c r="F56" s="6">
        <f t="shared" si="1"/>
        <v>26.100535395597863</v>
      </c>
      <c r="G56" s="5">
        <v>147</v>
      </c>
      <c r="H56" s="5">
        <v>56</v>
      </c>
      <c r="I56" s="5">
        <v>211</v>
      </c>
      <c r="J56" s="5">
        <v>121</v>
      </c>
    </row>
    <row r="57" spans="1:10" x14ac:dyDescent="0.3">
      <c r="A57" s="5" t="s">
        <v>74</v>
      </c>
      <c r="B57" s="5" t="s">
        <v>21</v>
      </c>
      <c r="C57" s="5">
        <v>43</v>
      </c>
      <c r="D57" s="6">
        <v>1.69</v>
      </c>
      <c r="E57" s="7">
        <v>56.5</v>
      </c>
      <c r="F57" s="6">
        <f t="shared" si="1"/>
        <v>19.782220510486329</v>
      </c>
      <c r="G57" s="5">
        <v>126</v>
      </c>
      <c r="H57" s="5">
        <v>74</v>
      </c>
      <c r="I57" s="5">
        <v>217</v>
      </c>
      <c r="J57" s="5">
        <v>98</v>
      </c>
    </row>
    <row r="58" spans="1:10" x14ac:dyDescent="0.3">
      <c r="A58" s="5" t="s">
        <v>75</v>
      </c>
      <c r="B58" s="5" t="s">
        <v>23</v>
      </c>
      <c r="C58" s="5">
        <v>55</v>
      </c>
      <c r="D58" s="6">
        <v>1.67</v>
      </c>
      <c r="E58" s="7">
        <v>65</v>
      </c>
      <c r="F58" s="6">
        <f t="shared" si="1"/>
        <v>23.306680053067517</v>
      </c>
      <c r="G58" s="5">
        <v>138</v>
      </c>
      <c r="H58" s="5">
        <v>77</v>
      </c>
      <c r="I58" s="5">
        <v>211</v>
      </c>
      <c r="J58" s="5">
        <v>99</v>
      </c>
    </row>
    <row r="59" spans="1:10" x14ac:dyDescent="0.3">
      <c r="A59" s="5" t="s">
        <v>76</v>
      </c>
      <c r="B59" s="5" t="s">
        <v>21</v>
      </c>
      <c r="C59" s="5">
        <v>56</v>
      </c>
      <c r="D59" s="6">
        <v>1.78</v>
      </c>
      <c r="E59" s="7">
        <v>78.2</v>
      </c>
      <c r="F59" s="6">
        <f t="shared" si="1"/>
        <v>24.681227117788158</v>
      </c>
      <c r="G59" s="5">
        <v>136</v>
      </c>
      <c r="H59" s="5">
        <v>69</v>
      </c>
      <c r="I59" s="5">
        <v>234</v>
      </c>
      <c r="J59" s="5">
        <v>109</v>
      </c>
    </row>
    <row r="60" spans="1:10" x14ac:dyDescent="0.3">
      <c r="A60" s="5" t="s">
        <v>77</v>
      </c>
      <c r="B60" s="5" t="s">
        <v>23</v>
      </c>
      <c r="C60" s="5">
        <v>51</v>
      </c>
      <c r="D60" s="6">
        <v>1.69</v>
      </c>
      <c r="E60" s="7">
        <v>63.3</v>
      </c>
      <c r="F60" s="6">
        <f t="shared" si="1"/>
        <v>22.163089527677606</v>
      </c>
      <c r="G60" s="5">
        <v>127</v>
      </c>
      <c r="H60" s="5">
        <v>59</v>
      </c>
      <c r="I60" s="5">
        <v>201</v>
      </c>
      <c r="J60" s="5">
        <v>98</v>
      </c>
    </row>
    <row r="61" spans="1:10" x14ac:dyDescent="0.3">
      <c r="A61" s="5" t="s">
        <v>78</v>
      </c>
      <c r="B61" s="5" t="s">
        <v>21</v>
      </c>
      <c r="C61" s="5">
        <v>22</v>
      </c>
      <c r="D61" s="6">
        <v>1.9</v>
      </c>
      <c r="E61" s="7">
        <v>77</v>
      </c>
      <c r="F61" s="6">
        <f t="shared" si="1"/>
        <v>21.329639889196677</v>
      </c>
      <c r="G61" s="5">
        <v>111</v>
      </c>
      <c r="H61" s="5">
        <v>64</v>
      </c>
      <c r="I61" s="5">
        <v>224</v>
      </c>
      <c r="J61" s="5">
        <v>110</v>
      </c>
    </row>
    <row r="62" spans="1:10" x14ac:dyDescent="0.3">
      <c r="A62" s="5" t="s">
        <v>79</v>
      </c>
      <c r="B62" s="5" t="s">
        <v>23</v>
      </c>
      <c r="C62" s="5">
        <v>50</v>
      </c>
      <c r="D62" s="6">
        <v>1.6</v>
      </c>
      <c r="E62" s="7">
        <v>66.3</v>
      </c>
      <c r="F62" s="6">
        <f t="shared" si="1"/>
        <v>25.898437499999993</v>
      </c>
      <c r="G62" s="5">
        <v>124</v>
      </c>
      <c r="H62" s="5">
        <v>76</v>
      </c>
      <c r="I62" s="5">
        <v>225</v>
      </c>
      <c r="J62" s="5">
        <v>112</v>
      </c>
    </row>
    <row r="63" spans="1:10" x14ac:dyDescent="0.3">
      <c r="A63" s="5" t="s">
        <v>80</v>
      </c>
      <c r="B63" s="5" t="s">
        <v>21</v>
      </c>
      <c r="C63" s="5">
        <v>42</v>
      </c>
      <c r="D63" s="6">
        <v>1.68</v>
      </c>
      <c r="E63" s="7">
        <v>54.3</v>
      </c>
      <c r="F63" s="6">
        <f t="shared" si="1"/>
        <v>19.238945578231295</v>
      </c>
      <c r="G63" s="5">
        <v>122</v>
      </c>
      <c r="H63" s="5">
        <v>68</v>
      </c>
      <c r="I63" s="5">
        <v>205</v>
      </c>
      <c r="J63" s="5">
        <v>103</v>
      </c>
    </row>
    <row r="64" spans="1:10" x14ac:dyDescent="0.3">
      <c r="A64" s="5" t="s">
        <v>81</v>
      </c>
      <c r="B64" s="5" t="s">
        <v>23</v>
      </c>
      <c r="C64" s="5">
        <v>36</v>
      </c>
      <c r="D64" s="6">
        <v>1.65</v>
      </c>
      <c r="E64" s="7">
        <v>73.599999999999994</v>
      </c>
      <c r="F64" s="6">
        <f t="shared" si="1"/>
        <v>27.033976124885218</v>
      </c>
      <c r="G64" s="5">
        <v>119</v>
      </c>
      <c r="H64" s="5">
        <v>68</v>
      </c>
      <c r="I64" s="5">
        <v>174</v>
      </c>
      <c r="J64" s="5">
        <v>106</v>
      </c>
    </row>
    <row r="65" spans="1:10" x14ac:dyDescent="0.3">
      <c r="A65" s="5" t="s">
        <v>82</v>
      </c>
      <c r="B65" s="5" t="s">
        <v>21</v>
      </c>
      <c r="C65" s="5">
        <v>50</v>
      </c>
      <c r="D65" s="6">
        <v>1.6</v>
      </c>
      <c r="E65" s="7">
        <v>65</v>
      </c>
      <c r="F65" s="6">
        <f t="shared" si="1"/>
        <v>25.390624999999996</v>
      </c>
      <c r="G65" s="5">
        <v>131</v>
      </c>
      <c r="H65" s="5">
        <v>67</v>
      </c>
      <c r="I65" s="5">
        <v>231</v>
      </c>
      <c r="J65" s="5">
        <v>111</v>
      </c>
    </row>
    <row r="66" spans="1:10" x14ac:dyDescent="0.3">
      <c r="A66" s="5" t="s">
        <v>83</v>
      </c>
      <c r="B66" s="5" t="s">
        <v>23</v>
      </c>
      <c r="C66" s="5">
        <v>58</v>
      </c>
      <c r="D66" s="6">
        <v>1.6</v>
      </c>
      <c r="E66" s="7">
        <v>59.3</v>
      </c>
      <c r="F66" s="6">
        <f t="shared" si="1"/>
        <v>23.164062499999993</v>
      </c>
      <c r="G66" s="5">
        <v>138</v>
      </c>
      <c r="H66" s="5">
        <v>70</v>
      </c>
      <c r="I66" s="5">
        <v>201</v>
      </c>
      <c r="J66" s="5">
        <v>123</v>
      </c>
    </row>
    <row r="67" spans="1:10" x14ac:dyDescent="0.3">
      <c r="A67" s="5" t="s">
        <v>84</v>
      </c>
      <c r="B67" s="5" t="s">
        <v>21</v>
      </c>
      <c r="C67" s="5">
        <v>27</v>
      </c>
      <c r="D67" s="6">
        <v>1.8</v>
      </c>
      <c r="E67" s="7">
        <v>76.599999999999994</v>
      </c>
      <c r="F67" s="6">
        <f t="shared" si="1"/>
        <v>23.641975308641971</v>
      </c>
      <c r="G67" s="5">
        <v>106</v>
      </c>
      <c r="H67" s="5">
        <v>74</v>
      </c>
      <c r="I67" s="5">
        <v>215</v>
      </c>
      <c r="J67" s="5">
        <v>102</v>
      </c>
    </row>
    <row r="68" spans="1:10" x14ac:dyDescent="0.3">
      <c r="A68" s="5" t="s">
        <v>85</v>
      </c>
      <c r="B68" s="5" t="s">
        <v>23</v>
      </c>
      <c r="C68" s="5">
        <v>58</v>
      </c>
      <c r="D68" s="6">
        <v>1.54</v>
      </c>
      <c r="E68" s="7">
        <v>52.4</v>
      </c>
      <c r="F68" s="6">
        <f t="shared" si="1"/>
        <v>22.094788328554561</v>
      </c>
      <c r="G68" s="5">
        <v>126</v>
      </c>
      <c r="H68" s="5">
        <v>77</v>
      </c>
      <c r="I68" s="5">
        <v>233</v>
      </c>
      <c r="J68" s="5">
        <v>118</v>
      </c>
    </row>
    <row r="69" spans="1:10" x14ac:dyDescent="0.3">
      <c r="A69" s="5" t="s">
        <v>86</v>
      </c>
      <c r="B69" s="5" t="s">
        <v>21</v>
      </c>
      <c r="C69" s="5">
        <v>24</v>
      </c>
      <c r="D69" s="6">
        <v>1.76</v>
      </c>
      <c r="E69" s="7">
        <v>66.5</v>
      </c>
      <c r="F69" s="6">
        <f t="shared" ref="F69:F100" si="2">E69/(D69^2)</f>
        <v>21.468233471074381</v>
      </c>
      <c r="G69" s="5">
        <v>125</v>
      </c>
      <c r="H69" s="5">
        <v>60</v>
      </c>
      <c r="I69" s="5">
        <v>169</v>
      </c>
      <c r="J69" s="5">
        <v>100</v>
      </c>
    </row>
    <row r="70" spans="1:10" x14ac:dyDescent="0.3">
      <c r="A70" s="5" t="s">
        <v>87</v>
      </c>
      <c r="B70" s="5" t="s">
        <v>23</v>
      </c>
      <c r="C70" s="5">
        <v>25</v>
      </c>
      <c r="D70" s="6">
        <v>1.52</v>
      </c>
      <c r="E70" s="7">
        <v>54.2</v>
      </c>
      <c r="F70" s="6">
        <f t="shared" si="2"/>
        <v>23.459141274238227</v>
      </c>
      <c r="G70" s="5">
        <v>109</v>
      </c>
      <c r="H70" s="5">
        <v>55</v>
      </c>
      <c r="I70" s="5">
        <v>155</v>
      </c>
      <c r="J70" s="5">
        <v>85</v>
      </c>
    </row>
    <row r="71" spans="1:10" x14ac:dyDescent="0.3">
      <c r="A71" s="5" t="s">
        <v>88</v>
      </c>
      <c r="B71" s="5" t="s">
        <v>21</v>
      </c>
      <c r="C71" s="5">
        <v>46</v>
      </c>
      <c r="D71" s="6">
        <v>1.67</v>
      </c>
      <c r="E71" s="7">
        <v>60.5</v>
      </c>
      <c r="F71" s="6">
        <f t="shared" si="2"/>
        <v>21.693140664778227</v>
      </c>
      <c r="G71" s="5">
        <v>113</v>
      </c>
      <c r="H71" s="5">
        <v>72</v>
      </c>
      <c r="I71" s="5">
        <v>167</v>
      </c>
      <c r="J71" s="5">
        <v>98</v>
      </c>
    </row>
    <row r="72" spans="1:10" x14ac:dyDescent="0.3">
      <c r="A72" s="5" t="s">
        <v>89</v>
      </c>
      <c r="B72" s="5" t="s">
        <v>23</v>
      </c>
      <c r="C72" s="5">
        <v>65</v>
      </c>
      <c r="D72" s="6">
        <v>1.66</v>
      </c>
      <c r="E72" s="7">
        <v>61.1</v>
      </c>
      <c r="F72" s="6">
        <f t="shared" si="2"/>
        <v>22.173029467266659</v>
      </c>
      <c r="G72" s="5">
        <v>135</v>
      </c>
      <c r="H72" s="5">
        <v>57</v>
      </c>
      <c r="I72" s="5">
        <v>213</v>
      </c>
      <c r="J72" s="5">
        <v>125</v>
      </c>
    </row>
    <row r="73" spans="1:10" x14ac:dyDescent="0.3">
      <c r="A73" s="5" t="s">
        <v>90</v>
      </c>
      <c r="B73" s="5" t="s">
        <v>21</v>
      </c>
      <c r="C73" s="5">
        <v>49</v>
      </c>
      <c r="D73" s="6">
        <v>1.71</v>
      </c>
      <c r="E73" s="7">
        <v>67.3</v>
      </c>
      <c r="F73" s="6">
        <f t="shared" si="2"/>
        <v>23.015628740467154</v>
      </c>
      <c r="G73" s="5">
        <v>135</v>
      </c>
      <c r="H73" s="5">
        <v>75</v>
      </c>
      <c r="I73" s="5">
        <v>207</v>
      </c>
      <c r="J73" s="5">
        <v>113</v>
      </c>
    </row>
    <row r="74" spans="1:10" x14ac:dyDescent="0.3">
      <c r="A74" s="5" t="s">
        <v>91</v>
      </c>
      <c r="B74" s="5" t="s">
        <v>23</v>
      </c>
      <c r="C74" s="5">
        <v>52</v>
      </c>
      <c r="D74" s="6">
        <v>1.65</v>
      </c>
      <c r="E74" s="7">
        <v>66.099999999999994</v>
      </c>
      <c r="F74" s="6">
        <f t="shared" si="2"/>
        <v>24.279155188246097</v>
      </c>
      <c r="G74" s="5">
        <v>127</v>
      </c>
      <c r="H74" s="5">
        <v>75</v>
      </c>
      <c r="I74" s="5">
        <v>216</v>
      </c>
      <c r="J74" s="5">
        <v>115</v>
      </c>
    </row>
    <row r="75" spans="1:10" x14ac:dyDescent="0.3">
      <c r="A75" s="5" t="s">
        <v>92</v>
      </c>
      <c r="B75" s="5" t="s">
        <v>21</v>
      </c>
      <c r="C75" s="5">
        <v>39</v>
      </c>
      <c r="D75" s="6">
        <v>1.68</v>
      </c>
      <c r="E75" s="7">
        <v>65.7</v>
      </c>
      <c r="F75" s="6">
        <f t="shared" si="2"/>
        <v>23.2780612244898</v>
      </c>
      <c r="G75" s="5">
        <v>128</v>
      </c>
      <c r="H75" s="5">
        <v>80</v>
      </c>
      <c r="I75" s="5">
        <v>225</v>
      </c>
      <c r="J75" s="5">
        <v>95</v>
      </c>
    </row>
    <row r="76" spans="1:10" x14ac:dyDescent="0.3">
      <c r="A76" s="5" t="s">
        <v>93</v>
      </c>
      <c r="B76" s="5" t="s">
        <v>23</v>
      </c>
      <c r="C76" s="5">
        <v>62</v>
      </c>
      <c r="D76" s="6">
        <v>1.74</v>
      </c>
      <c r="E76" s="7">
        <v>74.900000000000006</v>
      </c>
      <c r="F76" s="6">
        <f t="shared" si="2"/>
        <v>24.739067247985204</v>
      </c>
      <c r="G76" s="5">
        <v>126</v>
      </c>
      <c r="H76" s="5">
        <v>68</v>
      </c>
      <c r="I76" s="5">
        <v>233</v>
      </c>
      <c r="J76" s="5">
        <v>106</v>
      </c>
    </row>
    <row r="77" spans="1:10" x14ac:dyDescent="0.3">
      <c r="A77" s="5" t="s">
        <v>94</v>
      </c>
      <c r="B77" s="5" t="s">
        <v>21</v>
      </c>
      <c r="C77" s="5">
        <v>42</v>
      </c>
      <c r="D77" s="6">
        <v>1.85</v>
      </c>
      <c r="E77" s="7">
        <v>65.599999999999994</v>
      </c>
      <c r="F77" s="6">
        <f t="shared" si="2"/>
        <v>19.167275383491596</v>
      </c>
      <c r="G77" s="5">
        <v>115</v>
      </c>
      <c r="H77" s="5">
        <v>78</v>
      </c>
      <c r="I77" s="5">
        <v>179</v>
      </c>
      <c r="J77" s="5">
        <v>99</v>
      </c>
    </row>
    <row r="78" spans="1:10" x14ac:dyDescent="0.3">
      <c r="A78" s="5" t="s">
        <v>95</v>
      </c>
      <c r="B78" s="5" t="s">
        <v>23</v>
      </c>
      <c r="C78" s="5">
        <v>32</v>
      </c>
      <c r="D78" s="6">
        <v>1.57</v>
      </c>
      <c r="E78" s="7">
        <v>56.1</v>
      </c>
      <c r="F78" s="6">
        <f t="shared" si="2"/>
        <v>22.759543997728102</v>
      </c>
      <c r="G78" s="5">
        <v>115</v>
      </c>
      <c r="H78" s="5">
        <v>73</v>
      </c>
      <c r="I78" s="5">
        <v>182</v>
      </c>
      <c r="J78" s="5">
        <v>86</v>
      </c>
    </row>
    <row r="79" spans="1:10" x14ac:dyDescent="0.3">
      <c r="A79" s="5" t="s">
        <v>96</v>
      </c>
      <c r="B79" s="5" t="s">
        <v>21</v>
      </c>
      <c r="C79" s="5">
        <v>64</v>
      </c>
      <c r="D79" s="6">
        <v>1.79</v>
      </c>
      <c r="E79" s="7">
        <v>88.5</v>
      </c>
      <c r="F79" s="6">
        <f t="shared" si="2"/>
        <v>27.620860772135703</v>
      </c>
      <c r="G79" s="5">
        <v>142</v>
      </c>
      <c r="H79" s="5">
        <v>80</v>
      </c>
      <c r="I79" s="5">
        <v>238</v>
      </c>
      <c r="J79" s="5">
        <v>111</v>
      </c>
    </row>
    <row r="80" spans="1:10" x14ac:dyDescent="0.3">
      <c r="A80" s="5" t="s">
        <v>97</v>
      </c>
      <c r="B80" s="5" t="s">
        <v>23</v>
      </c>
      <c r="C80" s="5">
        <v>54</v>
      </c>
      <c r="D80" s="6">
        <v>1.61</v>
      </c>
      <c r="E80" s="7">
        <v>59.1</v>
      </c>
      <c r="F80" s="6">
        <f t="shared" si="2"/>
        <v>22.800046294510242</v>
      </c>
      <c r="G80" s="5">
        <v>116</v>
      </c>
      <c r="H80" s="5">
        <v>79</v>
      </c>
      <c r="I80" s="5">
        <v>219</v>
      </c>
      <c r="J80" s="5">
        <v>113</v>
      </c>
    </row>
    <row r="81" spans="1:10" x14ac:dyDescent="0.3">
      <c r="A81" s="5" t="s">
        <v>98</v>
      </c>
      <c r="B81" s="5" t="s">
        <v>21</v>
      </c>
      <c r="C81" s="5">
        <v>38</v>
      </c>
      <c r="D81" s="6">
        <v>1.76</v>
      </c>
      <c r="E81" s="7">
        <v>80.7</v>
      </c>
      <c r="F81" s="6">
        <f t="shared" si="2"/>
        <v>26.052427685950416</v>
      </c>
      <c r="G81" s="5">
        <v>126</v>
      </c>
      <c r="H81" s="5">
        <v>64</v>
      </c>
      <c r="I81" s="5">
        <v>203</v>
      </c>
      <c r="J81" s="5">
        <v>84</v>
      </c>
    </row>
    <row r="82" spans="1:10" x14ac:dyDescent="0.3">
      <c r="A82" s="5" t="s">
        <v>99</v>
      </c>
      <c r="B82" s="5" t="s">
        <v>23</v>
      </c>
      <c r="C82" s="5">
        <v>34</v>
      </c>
      <c r="D82" s="6">
        <v>1.65</v>
      </c>
      <c r="E82" s="7">
        <v>55.2</v>
      </c>
      <c r="F82" s="6">
        <f t="shared" si="2"/>
        <v>20.275482093663914</v>
      </c>
      <c r="G82" s="5">
        <v>124</v>
      </c>
      <c r="H82" s="5">
        <v>69</v>
      </c>
      <c r="I82" s="5">
        <v>214</v>
      </c>
      <c r="J82" s="5">
        <v>98</v>
      </c>
    </row>
    <row r="83" spans="1:10" x14ac:dyDescent="0.3">
      <c r="A83" s="5" t="s">
        <v>100</v>
      </c>
      <c r="B83" s="5" t="s">
        <v>21</v>
      </c>
      <c r="C83" s="5">
        <v>22</v>
      </c>
      <c r="D83" s="6">
        <v>1.77</v>
      </c>
      <c r="E83" s="7">
        <v>61.2</v>
      </c>
      <c r="F83" s="6">
        <f t="shared" si="2"/>
        <v>19.534616489514505</v>
      </c>
      <c r="G83" s="5">
        <v>120</v>
      </c>
      <c r="H83" s="5">
        <v>55</v>
      </c>
      <c r="I83" s="5">
        <v>194</v>
      </c>
      <c r="J83" s="5">
        <v>98</v>
      </c>
    </row>
    <row r="84" spans="1:10" x14ac:dyDescent="0.3">
      <c r="A84" s="5" t="s">
        <v>101</v>
      </c>
      <c r="B84" s="5" t="s">
        <v>23</v>
      </c>
      <c r="C84" s="5">
        <v>27</v>
      </c>
      <c r="D84" s="6">
        <v>1.62</v>
      </c>
      <c r="E84" s="7">
        <v>66.099999999999994</v>
      </c>
      <c r="F84" s="6">
        <f t="shared" si="2"/>
        <v>25.186709343087937</v>
      </c>
      <c r="G84" s="5">
        <v>136</v>
      </c>
      <c r="H84" s="5">
        <v>85</v>
      </c>
      <c r="I84" s="5">
        <v>181</v>
      </c>
      <c r="J84" s="5">
        <v>100</v>
      </c>
    </row>
    <row r="85" spans="1:10" x14ac:dyDescent="0.3">
      <c r="A85" s="5" t="s">
        <v>102</v>
      </c>
      <c r="B85" s="5" t="s">
        <v>21</v>
      </c>
      <c r="C85" s="5">
        <v>41</v>
      </c>
      <c r="D85" s="6">
        <v>1.8</v>
      </c>
      <c r="E85" s="7">
        <v>87.6</v>
      </c>
      <c r="F85" s="6">
        <f t="shared" si="2"/>
        <v>27.037037037037035</v>
      </c>
      <c r="G85" s="5">
        <v>126</v>
      </c>
      <c r="H85" s="5">
        <v>68</v>
      </c>
      <c r="I85" s="5">
        <v>226</v>
      </c>
      <c r="J85" s="5">
        <v>81</v>
      </c>
    </row>
    <row r="86" spans="1:10" x14ac:dyDescent="0.3">
      <c r="A86" s="5" t="s">
        <v>103</v>
      </c>
      <c r="B86" s="5" t="s">
        <v>23</v>
      </c>
      <c r="C86" s="5">
        <v>24</v>
      </c>
      <c r="D86" s="6">
        <v>1.5</v>
      </c>
      <c r="E86" s="7">
        <v>45</v>
      </c>
      <c r="F86" s="6">
        <f t="shared" si="2"/>
        <v>20</v>
      </c>
      <c r="G86" s="5">
        <v>105</v>
      </c>
      <c r="H86" s="5">
        <v>64</v>
      </c>
      <c r="I86" s="5">
        <v>161</v>
      </c>
      <c r="J86" s="5">
        <v>112</v>
      </c>
    </row>
    <row r="87" spans="1:10" x14ac:dyDescent="0.3">
      <c r="A87" s="5" t="s">
        <v>104</v>
      </c>
      <c r="B87" s="5" t="s">
        <v>21</v>
      </c>
      <c r="C87" s="5">
        <v>30</v>
      </c>
      <c r="D87" s="6">
        <v>1.85</v>
      </c>
      <c r="E87" s="7">
        <v>86.5</v>
      </c>
      <c r="F87" s="6">
        <f t="shared" si="2"/>
        <v>25.273922571219867</v>
      </c>
      <c r="G87" s="5">
        <v>120</v>
      </c>
      <c r="H87" s="5">
        <v>69</v>
      </c>
      <c r="I87" s="5">
        <v>203</v>
      </c>
      <c r="J87" s="5">
        <v>82</v>
      </c>
    </row>
    <row r="88" spans="1:10" x14ac:dyDescent="0.3">
      <c r="A88" s="5" t="s">
        <v>105</v>
      </c>
      <c r="B88" s="5" t="s">
        <v>23</v>
      </c>
      <c r="C88" s="5">
        <v>56</v>
      </c>
      <c r="D88" s="6">
        <v>1.66</v>
      </c>
      <c r="E88" s="7">
        <v>54</v>
      </c>
      <c r="F88" s="6">
        <f t="shared" si="2"/>
        <v>19.596458121643199</v>
      </c>
      <c r="G88" s="5">
        <v>129</v>
      </c>
      <c r="H88" s="5">
        <v>71</v>
      </c>
      <c r="I88" s="5">
        <v>185</v>
      </c>
      <c r="J88" s="5">
        <v>104</v>
      </c>
    </row>
    <row r="89" spans="1:10" x14ac:dyDescent="0.3">
      <c r="A89" s="5" t="s">
        <v>106</v>
      </c>
      <c r="B89" s="5" t="s">
        <v>21</v>
      </c>
      <c r="C89" s="5">
        <v>22</v>
      </c>
      <c r="D89" s="6">
        <v>1.69</v>
      </c>
      <c r="E89" s="7">
        <v>65.7</v>
      </c>
      <c r="F89" s="6">
        <f t="shared" si="2"/>
        <v>23.003396239627467</v>
      </c>
      <c r="G89" s="5">
        <v>128</v>
      </c>
      <c r="H89" s="5">
        <v>60</v>
      </c>
      <c r="I89" s="5">
        <v>233</v>
      </c>
      <c r="J89" s="5">
        <v>111</v>
      </c>
    </row>
    <row r="90" spans="1:10" x14ac:dyDescent="0.3">
      <c r="A90" s="5" t="s">
        <v>107</v>
      </c>
      <c r="B90" s="5" t="s">
        <v>23</v>
      </c>
      <c r="C90" s="5">
        <v>58</v>
      </c>
      <c r="D90" s="6">
        <v>1.67</v>
      </c>
      <c r="E90" s="7">
        <v>61.8</v>
      </c>
      <c r="F90" s="6">
        <f t="shared" si="2"/>
        <v>22.159274265839578</v>
      </c>
      <c r="G90" s="5">
        <v>135</v>
      </c>
      <c r="H90" s="5">
        <v>76</v>
      </c>
      <c r="I90" s="5">
        <v>186</v>
      </c>
      <c r="J90" s="5">
        <v>106</v>
      </c>
    </row>
    <row r="91" spans="1:10" x14ac:dyDescent="0.3">
      <c r="A91" s="5" t="s">
        <v>108</v>
      </c>
      <c r="B91" s="5" t="s">
        <v>21</v>
      </c>
      <c r="C91" s="5">
        <v>57</v>
      </c>
      <c r="D91" s="6">
        <v>1.78</v>
      </c>
      <c r="E91" s="7">
        <v>69.5</v>
      </c>
      <c r="F91" s="6">
        <f t="shared" si="2"/>
        <v>21.935361696755461</v>
      </c>
      <c r="G91" s="5">
        <v>123</v>
      </c>
      <c r="H91" s="5">
        <v>73</v>
      </c>
      <c r="I91" s="5">
        <v>212</v>
      </c>
      <c r="J91" s="5">
        <v>100</v>
      </c>
    </row>
    <row r="92" spans="1:10" x14ac:dyDescent="0.3">
      <c r="A92" s="5" t="s">
        <v>109</v>
      </c>
      <c r="B92" s="5" t="s">
        <v>23</v>
      </c>
      <c r="C92" s="5">
        <v>33</v>
      </c>
      <c r="D92" s="6">
        <v>1.63</v>
      </c>
      <c r="E92" s="7">
        <v>57.7</v>
      </c>
      <c r="F92" s="6">
        <f t="shared" si="2"/>
        <v>21.717038654070535</v>
      </c>
      <c r="G92" s="5">
        <v>128</v>
      </c>
      <c r="H92" s="5">
        <v>68</v>
      </c>
      <c r="I92" s="5">
        <v>173</v>
      </c>
      <c r="J92" s="5">
        <v>103</v>
      </c>
    </row>
    <row r="93" spans="1:10" x14ac:dyDescent="0.3">
      <c r="A93" s="5" t="s">
        <v>110</v>
      </c>
      <c r="B93" s="5" t="s">
        <v>21</v>
      </c>
      <c r="C93" s="5">
        <v>42</v>
      </c>
      <c r="D93" s="6">
        <v>1.71</v>
      </c>
      <c r="E93" s="7">
        <v>77.8</v>
      </c>
      <c r="F93" s="6">
        <f t="shared" si="2"/>
        <v>26.606477206661882</v>
      </c>
      <c r="G93" s="5">
        <v>122</v>
      </c>
      <c r="H93" s="5">
        <v>80</v>
      </c>
      <c r="I93" s="5">
        <v>196</v>
      </c>
      <c r="J93" s="5">
        <v>108</v>
      </c>
    </row>
    <row r="94" spans="1:10" x14ac:dyDescent="0.3">
      <c r="A94" s="5" t="s">
        <v>111</v>
      </c>
      <c r="B94" s="5" t="s">
        <v>23</v>
      </c>
      <c r="C94" s="5">
        <v>35</v>
      </c>
      <c r="D94" s="6">
        <v>1.69</v>
      </c>
      <c r="E94" s="7">
        <v>57.4</v>
      </c>
      <c r="F94" s="6">
        <f t="shared" si="2"/>
        <v>20.097335527467528</v>
      </c>
      <c r="G94" s="5">
        <v>124</v>
      </c>
      <c r="H94" s="5">
        <v>73</v>
      </c>
      <c r="I94" s="5">
        <v>209</v>
      </c>
      <c r="J94" s="5">
        <v>99</v>
      </c>
    </row>
    <row r="95" spans="1:10" x14ac:dyDescent="0.3">
      <c r="A95" s="5" t="s">
        <v>112</v>
      </c>
      <c r="B95" s="5" t="s">
        <v>21</v>
      </c>
      <c r="C95" s="5">
        <v>64</v>
      </c>
      <c r="D95" s="6">
        <v>1.68</v>
      </c>
      <c r="E95" s="7">
        <v>76.099999999999994</v>
      </c>
      <c r="F95" s="6">
        <f t="shared" si="2"/>
        <v>26.962868480725625</v>
      </c>
      <c r="G95" s="5">
        <v>135</v>
      </c>
      <c r="H95" s="5">
        <v>81</v>
      </c>
      <c r="I95" s="5">
        <v>213</v>
      </c>
      <c r="J95" s="5">
        <v>100</v>
      </c>
    </row>
    <row r="96" spans="1:10" x14ac:dyDescent="0.3">
      <c r="A96" s="5" t="s">
        <v>113</v>
      </c>
      <c r="B96" s="5" t="s">
        <v>23</v>
      </c>
      <c r="C96" s="5">
        <v>19</v>
      </c>
      <c r="D96" s="6">
        <v>1.66</v>
      </c>
      <c r="E96" s="7">
        <v>63.2</v>
      </c>
      <c r="F96" s="6">
        <f t="shared" si="2"/>
        <v>22.935113949775005</v>
      </c>
      <c r="G96" s="5">
        <v>116</v>
      </c>
      <c r="H96" s="5">
        <v>66</v>
      </c>
      <c r="I96" s="5">
        <v>172</v>
      </c>
      <c r="J96" s="5">
        <v>91</v>
      </c>
    </row>
    <row r="97" spans="1:10" x14ac:dyDescent="0.3">
      <c r="A97" s="5" t="s">
        <v>114</v>
      </c>
      <c r="B97" s="5" t="s">
        <v>21</v>
      </c>
      <c r="C97" s="5">
        <v>51</v>
      </c>
      <c r="D97" s="6">
        <v>1.62</v>
      </c>
      <c r="E97" s="7">
        <v>82.8</v>
      </c>
      <c r="F97" s="6">
        <f t="shared" si="2"/>
        <v>31.550068587105617</v>
      </c>
      <c r="G97" s="5">
        <v>123</v>
      </c>
      <c r="H97" s="5">
        <v>70</v>
      </c>
      <c r="I97" s="5">
        <v>194</v>
      </c>
      <c r="J97" s="5">
        <v>108</v>
      </c>
    </row>
    <row r="98" spans="1:10" x14ac:dyDescent="0.3">
      <c r="A98" s="5" t="s">
        <v>115</v>
      </c>
      <c r="B98" s="5" t="s">
        <v>23</v>
      </c>
      <c r="C98" s="5">
        <v>32</v>
      </c>
      <c r="D98" s="6">
        <v>1.65</v>
      </c>
      <c r="E98" s="7">
        <v>64.599999999999994</v>
      </c>
      <c r="F98" s="6">
        <f t="shared" si="2"/>
        <v>23.728191000918276</v>
      </c>
      <c r="G98" s="5">
        <v>130</v>
      </c>
      <c r="H98" s="5">
        <v>79</v>
      </c>
      <c r="I98" s="5">
        <v>200</v>
      </c>
      <c r="J98" s="5">
        <v>94</v>
      </c>
    </row>
    <row r="99" spans="1:10" x14ac:dyDescent="0.3">
      <c r="A99" s="5" t="s">
        <v>116</v>
      </c>
      <c r="B99" s="5" t="s">
        <v>21</v>
      </c>
      <c r="C99" s="5">
        <v>31</v>
      </c>
      <c r="D99" s="6">
        <v>1.75</v>
      </c>
      <c r="E99" s="7">
        <v>66</v>
      </c>
      <c r="F99" s="6">
        <f t="shared" si="2"/>
        <v>21.551020408163264</v>
      </c>
      <c r="G99" s="5">
        <v>111</v>
      </c>
      <c r="H99" s="5">
        <v>65</v>
      </c>
      <c r="I99" s="5">
        <v>153</v>
      </c>
      <c r="J99" s="5">
        <v>85</v>
      </c>
    </row>
    <row r="100" spans="1:10" x14ac:dyDescent="0.3">
      <c r="A100" s="5" t="s">
        <v>117</v>
      </c>
      <c r="B100" s="5" t="s">
        <v>23</v>
      </c>
      <c r="C100" s="5">
        <v>30</v>
      </c>
      <c r="D100" s="6">
        <v>1.6</v>
      </c>
      <c r="E100" s="7">
        <v>63.4</v>
      </c>
      <c r="F100" s="6">
        <f t="shared" si="2"/>
        <v>24.765624999999993</v>
      </c>
      <c r="G100" s="5">
        <v>118</v>
      </c>
      <c r="H100" s="5">
        <v>84</v>
      </c>
      <c r="I100" s="5">
        <v>202</v>
      </c>
      <c r="J100" s="5">
        <v>101</v>
      </c>
    </row>
    <row r="101" spans="1:10" x14ac:dyDescent="0.3">
      <c r="A101" s="5" t="s">
        <v>118</v>
      </c>
      <c r="B101" s="5" t="s">
        <v>21</v>
      </c>
      <c r="C101" s="5">
        <v>21</v>
      </c>
      <c r="D101" s="6">
        <v>1.65</v>
      </c>
      <c r="E101" s="7">
        <v>59.3</v>
      </c>
      <c r="F101" s="6">
        <f t="shared" ref="F101:F132" si="3">E101/(D101^2)</f>
        <v>21.781450872359965</v>
      </c>
      <c r="G101" s="5">
        <v>131</v>
      </c>
      <c r="H101" s="5">
        <v>83</v>
      </c>
      <c r="I101" s="5">
        <v>152</v>
      </c>
      <c r="J101" s="5">
        <v>97</v>
      </c>
    </row>
    <row r="102" spans="1:10" x14ac:dyDescent="0.3">
      <c r="A102" s="5" t="s">
        <v>119</v>
      </c>
      <c r="B102" s="5" t="s">
        <v>23</v>
      </c>
      <c r="C102" s="5">
        <v>54</v>
      </c>
      <c r="D102" s="6">
        <v>1.61</v>
      </c>
      <c r="E102" s="7">
        <v>68.7</v>
      </c>
      <c r="F102" s="6">
        <f t="shared" si="3"/>
        <v>26.503607113923071</v>
      </c>
      <c r="G102" s="5">
        <v>120</v>
      </c>
      <c r="H102" s="5">
        <v>89</v>
      </c>
      <c r="I102" s="5">
        <v>212</v>
      </c>
      <c r="J102" s="5">
        <v>124</v>
      </c>
    </row>
    <row r="103" spans="1:10" x14ac:dyDescent="0.3">
      <c r="A103" s="5" t="s">
        <v>120</v>
      </c>
      <c r="B103" s="5" t="s">
        <v>21</v>
      </c>
      <c r="C103" s="5">
        <v>25</v>
      </c>
      <c r="D103" s="6">
        <v>1.78</v>
      </c>
      <c r="E103" s="7">
        <v>66.5</v>
      </c>
      <c r="F103" s="6">
        <f t="shared" si="3"/>
        <v>20.988511551571772</v>
      </c>
      <c r="G103" s="5">
        <v>131</v>
      </c>
      <c r="H103" s="5">
        <v>77</v>
      </c>
      <c r="I103" s="5">
        <v>206</v>
      </c>
      <c r="J103" s="5">
        <v>99</v>
      </c>
    </row>
    <row r="104" spans="1:10" x14ac:dyDescent="0.3">
      <c r="A104" s="5" t="s">
        <v>121</v>
      </c>
      <c r="B104" s="5" t="s">
        <v>23</v>
      </c>
      <c r="C104" s="5">
        <v>54</v>
      </c>
      <c r="D104" s="6">
        <v>1.64</v>
      </c>
      <c r="E104" s="7">
        <v>62.9</v>
      </c>
      <c r="F104" s="6">
        <f t="shared" si="3"/>
        <v>23.386377156454493</v>
      </c>
      <c r="G104" s="5">
        <v>131</v>
      </c>
      <c r="H104" s="5">
        <v>82</v>
      </c>
      <c r="I104" s="5">
        <v>189</v>
      </c>
      <c r="J104" s="5">
        <v>112</v>
      </c>
    </row>
  </sheetData>
  <mergeCells count="3">
    <mergeCell ref="A1:J1"/>
    <mergeCell ref="A2:J2"/>
    <mergeCell ref="L3:Q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Uzma Ejaz</cp:lastModifiedBy>
  <cp:revision>0</cp:revision>
  <dcterms:created xsi:type="dcterms:W3CDTF">2026-07-20T22:47:51Z</dcterms:created>
  <dcterms:modified xsi:type="dcterms:W3CDTF">2026-07-20T22:48:54Z</dcterms:modified>
  <dc:language>en-US</dc:language>
</cp:coreProperties>
</file>